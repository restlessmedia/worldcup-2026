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d0320efb1c59755/Desktop/worldcup/"/>
    </mc:Choice>
  </mc:AlternateContent>
  <xr:revisionPtr revIDLastSave="0" documentId="8_{94EFD7F5-A59F-42BA-AA7F-C842E1DA61B3}" xr6:coauthVersionLast="47" xr6:coauthVersionMax="47" xr10:uidLastSave="{00000000-0000-0000-0000-000000000000}"/>
  <bookViews>
    <workbookView xWindow="28680" yWindow="-120" windowWidth="29040" windowHeight="15720" firstSheet="2" activeTab="3" xr2:uid="{00000000-000D-0000-FFFF-FFFF00000000}"/>
  </bookViews>
  <sheets>
    <sheet name="Responses" sheetId="1" r:id="rId1"/>
    <sheet name="Data" sheetId="2" r:id="rId2"/>
    <sheet name="Rules" sheetId="3" r:id="rId3"/>
    <sheet name="Tracking" sheetId="4" r:id="rId4"/>
    <sheet name="Lists" sheetId="5" r:id="rId5"/>
  </sheets>
  <definedNames>
    <definedName name="TeamList">Lists!$C$2:$C$49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G4" i="1"/>
  <c r="G5" i="1"/>
  <c r="G8" i="1"/>
  <c r="G9" i="1"/>
  <c r="G10" i="1"/>
  <c r="G11" i="1"/>
  <c r="G12" i="1"/>
  <c r="G13" i="1"/>
  <c r="G14" i="1"/>
  <c r="G15" i="1"/>
  <c r="G16" i="1"/>
  <c r="G17" i="1"/>
  <c r="G18" i="1"/>
  <c r="G19" i="1"/>
  <c r="G3" i="1"/>
  <c r="F4" i="1"/>
  <c r="F5" i="1"/>
  <c r="F6" i="1"/>
  <c r="G6" i="1" s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  <c r="C17" i="2" a="1"/>
  <c r="C17" i="2"/>
  <c r="D16" i="2" a="1"/>
  <c r="D16" i="2"/>
  <c r="D15" i="2" a="1"/>
  <c r="D15" i="2"/>
  <c r="D13" i="2" a="1"/>
  <c r="D13" i="2"/>
  <c r="D12" i="2" a="1"/>
  <c r="D12" i="2"/>
  <c r="D11" i="2" a="1"/>
  <c r="D11" i="2"/>
  <c r="D17" i="2" s="1" a="1"/>
  <c r="D17" i="2" s="1"/>
  <c r="B10" i="2" a="1"/>
  <c r="B10" i="2"/>
  <c r="D14" i="2" s="1" a="1"/>
  <c r="D14" i="2" s="1"/>
  <c r="B7" i="2"/>
  <c r="B6" i="2"/>
  <c r="B5" i="2"/>
  <c r="B4" i="2"/>
  <c r="B8" i="2" s="1" a="1"/>
  <c r="B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Davina Cooper</author>
  </authors>
  <commentList>
    <comment ref="D15" authorId="0" shapeId="0" xr:uid="{49DB2B09-E8D4-46CF-99BE-C202CEBB92FF}">
      <text>
        <r>
          <rPr>
            <b/>
            <sz val="9"/>
            <color indexed="81"/>
            <rFont val="Tahoma"/>
            <charset val="1"/>
          </rPr>
          <t>Davina Cooper:</t>
        </r>
        <r>
          <rPr>
            <sz val="9"/>
            <color indexed="81"/>
            <rFont val="Tahoma"/>
            <charset val="1"/>
          </rPr>
          <t xml:space="preserve">
not replied yet so just given 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<sst xmlns="http://schemas.openxmlformats.org/spreadsheetml/2006/main" count="168" uniqueCount="120">
  <si>
    <t>Table 1</t>
  </si>
  <si>
    <t>Responses</t>
  </si>
  <si>
    <t>House number</t>
  </si>
  <si>
    <t>Min expected tickets</t>
  </si>
  <si>
    <t>Requested ticket count</t>
  </si>
  <si>
    <t>Allocated ticket count</t>
  </si>
  <si>
    <t>Allocation reduced</t>
  </si>
  <si>
    <t>Phil &amp; Davina</t>
  </si>
  <si>
    <t>Colin &amp; Jill</t>
  </si>
  <si>
    <t>Owen &amp; Hazel</t>
  </si>
  <si>
    <t>Karen &amp; Ian</t>
  </si>
  <si>
    <t>John P</t>
  </si>
  <si>
    <t>Carl H</t>
  </si>
  <si>
    <t>Lisa &amp; Steph</t>
  </si>
  <si>
    <t>Mike T</t>
  </si>
  <si>
    <t>Lorna &amp; Nigel</t>
  </si>
  <si>
    <t>Nikki &amp; Adam</t>
  </si>
  <si>
    <t>Sarah H</t>
  </si>
  <si>
    <t>Amelia</t>
  </si>
  <si>
    <t>Katie &amp; Nick</t>
  </si>
  <si>
    <t>Rod &amp; Sarah</t>
  </si>
  <si>
    <t>Adele</t>
  </si>
  <si>
    <t>Matt &amp; Anna</t>
  </si>
  <si>
    <t>Matt &amp; Helen</t>
  </si>
  <si>
    <t>Coppice</t>
  </si>
  <si>
    <t>Need 4 to drop</t>
  </si>
  <si>
    <t>% of winning’s (if applicable)</t>
  </si>
  <si>
    <t>Prize in £ (if applicable)</t>
  </si>
  <si>
    <t>Total teams</t>
  </si>
  <si>
    <t>Participating house count</t>
  </si>
  <si>
    <t xml:space="preserve">Initial response ticket count </t>
  </si>
  <si>
    <t>Initial min tickets per house</t>
  </si>
  <si>
    <t>Ticket cost</t>
  </si>
  <si>
    <t>Max prize pot</t>
  </si>
  <si>
    <t>1st prize (overall winner)</t>
  </si>
  <si>
    <t>2nd prize (final loser)</t>
  </si>
  <si>
    <t>3rd prize (semi-final play-off winner)</t>
  </si>
  <si>
    <t>4th prize (semi-final play-off loser)</t>
  </si>
  <si>
    <t>Most goals conceded</t>
  </si>
  <si>
    <t>Fair play award</t>
  </si>
  <si>
    <t>Most goals team tie rule order</t>
  </si>
  <si>
    <r>
      <rPr>
        <b/>
        <sz val="10"/>
        <color indexed="8"/>
        <rFont val="Helvetica Neue"/>
        <scheme val="major"/>
      </rPr>
      <t>Most goals conceded</t>
    </r>
    <r>
      <rPr>
        <sz val="10"/>
        <color indexed="8"/>
        <rFont val="Helvetica Neue"/>
        <scheme val="major"/>
      </rPr>
      <t xml:space="preserve">
If tied, </t>
    </r>
    <r>
      <rPr>
        <b/>
        <sz val="10"/>
        <color indexed="8"/>
        <rFont val="Helvetica Neue"/>
        <scheme val="major"/>
      </rPr>
      <t>most matches played</t>
    </r>
    <r>
      <rPr>
        <sz val="10"/>
        <color indexed="8"/>
        <rFont val="Helvetica Neue"/>
        <scheme val="major"/>
      </rPr>
      <t xml:space="preserve"> loses (because they conceded the same number across more games)
If still tied, </t>
    </r>
    <r>
      <rPr>
        <b/>
        <sz val="10"/>
        <color indexed="8"/>
        <rFont val="Helvetica Neue"/>
        <scheme val="major"/>
      </rPr>
      <t>worst goal difference</t>
    </r>
    <r>
      <rPr>
        <sz val="10"/>
        <color indexed="8"/>
        <rFont val="Helvetica Neue"/>
        <scheme val="major"/>
      </rPr>
      <t xml:space="preserve">
If still tied, </t>
    </r>
    <r>
      <rPr>
        <b/>
        <sz val="10"/>
        <color indexed="8"/>
        <rFont val="Helvetica Neue"/>
        <scheme val="major"/>
      </rPr>
      <t>fewest goals scored</t>
    </r>
    <r>
      <rPr>
        <sz val="10"/>
        <color indexed="8"/>
        <rFont val="Helvetica Neue"/>
        <scheme val="major"/>
      </rPr>
      <t xml:space="preserve">
If still tied, </t>
    </r>
    <r>
      <rPr>
        <b/>
        <sz val="10"/>
        <color indexed="8"/>
        <rFont val="Helvetica Neue"/>
        <scheme val="major"/>
      </rPr>
      <t>earliest team drawn in the sweepstake draw</t>
    </r>
    <r>
      <rPr>
        <sz val="10"/>
        <color indexed="8"/>
        <rFont val="Helvetica Neue"/>
        <scheme val="major"/>
      </rPr>
      <t xml:space="preserve"> (or a coin toss)</t>
    </r>
  </si>
  <si>
    <t>Team 1</t>
  </si>
  <si>
    <t>Team 2 (if applicable)</t>
  </si>
  <si>
    <t>Team 3 (if applicable)</t>
  </si>
  <si>
    <t>Team 4 (if applicable)</t>
  </si>
  <si>
    <t>To pay</t>
  </si>
  <si>
    <t>Paid</t>
  </si>
  <si>
    <t>Ticket picker</t>
  </si>
  <si>
    <t>Jess</t>
  </si>
  <si>
    <t>(Child)</t>
  </si>
  <si>
    <t>Austria</t>
  </si>
  <si>
    <t>Cape Verde</t>
  </si>
  <si>
    <t>Belgium</t>
  </si>
  <si>
    <t>Teams</t>
  </si>
  <si>
    <t>Algeria</t>
  </si>
  <si>
    <t>Argentina</t>
  </si>
  <si>
    <t>Australia</t>
  </si>
  <si>
    <t>Bosnia and Herzegovina</t>
  </si>
  <si>
    <t>Brazil</t>
  </si>
  <si>
    <t>Canada</t>
  </si>
  <si>
    <t>Colombia</t>
  </si>
  <si>
    <t>Croatia</t>
  </si>
  <si>
    <t>Curacao</t>
  </si>
  <si>
    <t>Czechia</t>
  </si>
  <si>
    <t>DR Congo</t>
  </si>
  <si>
    <t>Ecuador</t>
  </si>
  <si>
    <t>Egypt</t>
  </si>
  <si>
    <t>England</t>
  </si>
  <si>
    <t>France</t>
  </si>
  <si>
    <t>Germany</t>
  </si>
  <si>
    <t>Ghana</t>
  </si>
  <si>
    <t>Haiti</t>
  </si>
  <si>
    <t>Iran</t>
  </si>
  <si>
    <t>Iraq</t>
  </si>
  <si>
    <t>Ivory Coast</t>
  </si>
  <si>
    <t>Japan</t>
  </si>
  <si>
    <t>Jordan</t>
  </si>
  <si>
    <t>Mexico</t>
  </si>
  <si>
    <t>Morocco</t>
  </si>
  <si>
    <t>Netherlands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</si>
  <si>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</si>
  <si>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</si>
  <si>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</si>
  <si>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</si>
  <si>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</si>
  <si>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</si>
  <si>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</si>
  <si>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</si>
  <si>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</si>
  <si>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</si>
  <si>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South Korea</t>
  </si>
  <si>
    <t>Spain</t>
  </si>
  <si>
    <t>Sweden</t>
  </si>
  <si>
    <t>Switzerland</t>
  </si>
  <si>
    <t>Tunisia</t>
  </si>
  <si>
    <t>Türkiye</t>
  </si>
  <si>
    <t>Uruguay</t>
  </si>
  <si>
    <t>USA</t>
  </si>
  <si>
    <t>Uzbekistan</t>
  </si>
  <si>
    <t>Common Name</t>
  </si>
  <si>
    <t>Display Name</t>
  </si>
  <si>
    <t>Bosnia</t>
  </si>
  <si>
    <t>Curaçao</t>
  </si>
  <si>
    <t>Czech Republic</t>
  </si>
  <si>
    <t>Democratic Republic of the Congo</t>
  </si>
  <si>
    <t>Côte d'Ivoire</t>
  </si>
  <si>
    <t>Holland</t>
  </si>
  <si>
    <t>Korea Republic</t>
  </si>
  <si>
    <t>Turkey</t>
  </si>
  <si>
    <t>United States</t>
  </si>
  <si>
    <t>USA (United States)</t>
  </si>
  <si>
    <t>Türkiye (Turkey)</t>
  </si>
  <si>
    <t>DR Congo (Democratic Republic of the Congo)</t>
  </si>
  <si>
    <t>South Korea (Korea Republic)</t>
  </si>
  <si>
    <t>Netherlands (Holland)</t>
  </si>
  <si>
    <t>Czechia (Czech Republic)</t>
  </si>
  <si>
    <t>Ivory Coast (Côte d'Ivoire)</t>
  </si>
  <si>
    <t>Curacao (Curaçao)</t>
  </si>
  <si>
    <t>Bosnia and Herzegovina (Bosnia)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</si>
</sst>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 Neue"/>
      <scheme val="major"/>
    </font>
    <font>
      <b/>
      <sz val="10"/>
      <color indexed="8"/>
      <name val="Helvetica Neue"/>
      <scheme val="major"/>
    </font>
    <font>
      <sz val="10"/>
      <color rgb="FFFF0000"/>
      <name val="Helvetica Neue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6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3" borderId="2" xfId="0" applyFont="1" applyFill="1" applyBorder="1">
      <alignment vertical="top" wrapText="1"/>
    </xf>
    <xf numFmtId="49" fontId="2" fillId="2" borderId="8" xfId="0" applyNumberFormat="1" applyFont="1" applyFill="1" applyBorder="1">
      <alignment vertical="top" wrapText="1"/>
    </xf>
    <xf numFmtId="49" fontId="3" fillId="0" borderId="3" xfId="0" applyNumberFormat="1" applyFont="1" applyBorder="1">
      <alignment vertical="top" wrapText="1"/>
    </xf>
    <xf numFmtId="0" fontId="5" fillId="0" borderId="7" xfId="0" applyFont="1" applyBorder="1">
      <alignment vertical="top" wrapText="1"/>
    </xf>
    <xf numFmtId="0" fontId="0" fillId="0" borderId="0" xfId="0" applyNumberFormat="1" applyFill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12" sqref="B12"/>
    </sheetView>
  </sheetViews>
  <sheetFormatPr defaultColWidth="16.28515625" defaultRowHeight="12.75"/>
  <cols>
    <col min="1" max="4" width="16.28515625" style="1" customWidth="1"/>
    <col min="5" max="5" width="13.42578125" style="1" customWidth="1"/>
    <col min="6" max="6" width="10.140625" style="1" bestFit="1" customWidth="1"/>
    <col min="7" max="7" width="26.28515625" style="1" customWidth="1"/>
    <col min="8" max="16384" width="16.28515625" style="1"/>
  </cols>
  <sheetData>
    <row r="1" spans="1:7" ht="15">
      <c r="A1" s="20" t="s">
        <v>0</v>
      </c>
      <c r="B1" s="20"/>
      <c r="C1" s="20"/>
      <c r="D1" s="20"/>
    </row>
    <row r="2" spans="1:7" ht="25.5">
      <c r="A2" s="2" t="s">
        <v>1</v>
      </c>
      <c r="B2" s="2" t="s">
        <v>2</v>
      </c>
      <c r="C2" s="2" t="s">
        <v>3</v>
      </c>
      <c r="D2" s="2" t="s">
        <v>4</v>
      </c>
      <c r="E2" s="16" t="s">
        <v>5</v>
      </c>
      <c r="F2" s="16" t="s">
        <v>6</v>
      </c>
    </row>
    <row r="3" spans="1:7">
      <c r="A3" s="8" t="s">
        <v>7</v>
      </c>
      <c r="B3" s="12">
        <v>1</v>
      </c>
      <c r="C3" s="10">
        <v>2</v>
      </c>
      <c r="D3" s="11">
        <v>4</v>
      </c>
      <c r="E3" s="19">
        <v>4</v>
      </c>
      <c r="F3" s="1" t="str">
        <f>IF(D3&lt;&gt;E3,"(Changed)","")</f>
        <v/>
      </c>
      <c r="G3" s="1" t="str">
        <f>"House "&amp;B3&amp;" - "&amp;E3&amp;" "&amp;F3</f>
        <v xml:space="preserve">House 1 - 4 </v>
      </c>
    </row>
    <row r="4" spans="1:7">
      <c r="A4" s="8" t="s">
        <v>8</v>
      </c>
      <c r="B4" s="12">
        <v>2</v>
      </c>
      <c r="C4" s="10">
        <v>2</v>
      </c>
      <c r="D4" s="11">
        <v>2</v>
      </c>
      <c r="E4" s="19">
        <v>2</v>
      </c>
      <c r="F4" s="1" t="str">
        <f t="shared" ref="F4:F23" si="0">IF(D4&lt;&gt;E4,"(Changed)","")</f>
        <v/>
      </c>
      <c r="G4" s="1" t="str">
        <f t="shared" ref="G4:G19" si="1">"House "&amp;B4&amp;" - "&amp;E4&amp;" "&amp;F4</f>
        <v xml:space="preserve">House 2 - 2 </v>
      </c>
    </row>
    <row r="5" spans="1:7">
      <c r="A5" s="8" t="s">
        <v>9</v>
      </c>
      <c r="B5" s="9">
        <v>3</v>
      </c>
      <c r="C5" s="10">
        <v>1</v>
      </c>
      <c r="D5" s="11">
        <v>2</v>
      </c>
      <c r="E5" s="19">
        <v>2</v>
      </c>
      <c r="F5" s="1" t="str">
        <f t="shared" si="0"/>
        <v/>
      </c>
      <c r="G5" s="1" t="str">
        <f t="shared" si="1"/>
        <v xml:space="preserve">House 3 - 2 </v>
      </c>
    </row>
    <row r="6" spans="1:7">
      <c r="A6" s="4" t="s">
        <v>10</v>
      </c>
      <c r="B6" s="5">
        <v>4</v>
      </c>
      <c r="C6" s="6">
        <v>1</v>
      </c>
      <c r="D6" s="7">
        <v>4</v>
      </c>
      <c r="E6" s="19">
        <v>3</v>
      </c>
      <c r="F6" s="1" t="str">
        <f t="shared" si="0"/>
        <v>(Changed)</v>
      </c>
      <c r="G6" s="1" t="str">
        <f t="shared" si="1"/>
        <v>House 4 - 3 (Changed)</v>
      </c>
    </row>
    <row r="7" spans="1:7">
      <c r="A7" s="8" t="s">
        <v>11</v>
      </c>
      <c r="B7" s="9">
        <v>5</v>
      </c>
      <c r="C7" s="10">
        <v>1</v>
      </c>
      <c r="D7" s="11">
        <v>3</v>
      </c>
      <c r="E7" s="19">
        <v>3</v>
      </c>
      <c r="F7" s="1" t="str">
        <f t="shared" si="0"/>
        <v/>
      </c>
      <c r="G7" s="1" t="str">
        <f>"House "&amp;B7&amp;" - "&amp;E7&amp;" "&amp;F7</f>
        <v xml:space="preserve">House 5 - 3 </v>
      </c>
    </row>
    <row r="8" spans="1:7">
      <c r="A8" s="8" t="s">
        <v>12</v>
      </c>
      <c r="B8" s="9">
        <v>6</v>
      </c>
      <c r="C8" s="10">
        <v>1</v>
      </c>
      <c r="D8" s="11">
        <v>4</v>
      </c>
      <c r="E8" s="19">
        <v>4</v>
      </c>
      <c r="F8" s="1" t="str">
        <f t="shared" si="0"/>
        <v/>
      </c>
      <c r="G8" s="1" t="str">
        <f t="shared" si="1"/>
        <v xml:space="preserve">House 6 - 4 </v>
      </c>
    </row>
    <row r="9" spans="1:7">
      <c r="A9" s="8" t="s">
        <v>13</v>
      </c>
      <c r="B9" s="9">
        <v>8</v>
      </c>
      <c r="C9" s="10">
        <v>2</v>
      </c>
      <c r="D9" s="11">
        <v>3</v>
      </c>
      <c r="E9" s="19">
        <v>3</v>
      </c>
      <c r="F9" s="1" t="str">
        <f t="shared" si="0"/>
        <v/>
      </c>
      <c r="G9" s="1" t="str">
        <f t="shared" si="1"/>
        <v xml:space="preserve">House 8 - 3 </v>
      </c>
    </row>
    <row r="10" spans="1:7">
      <c r="A10" s="8" t="s">
        <v>14</v>
      </c>
      <c r="B10" s="9">
        <v>11</v>
      </c>
      <c r="C10" s="10">
        <v>1</v>
      </c>
      <c r="D10" s="11">
        <v>4</v>
      </c>
      <c r="E10" s="19">
        <v>4</v>
      </c>
      <c r="F10" s="1" t="str">
        <f t="shared" si="0"/>
        <v/>
      </c>
      <c r="G10" s="1" t="str">
        <f t="shared" si="1"/>
        <v xml:space="preserve">House 11 - 4 </v>
      </c>
    </row>
    <row r="11" spans="1:7">
      <c r="A11" s="8" t="s">
        <v>15</v>
      </c>
      <c r="B11" s="9">
        <v>12</v>
      </c>
      <c r="C11" s="10">
        <v>2</v>
      </c>
      <c r="D11" s="11">
        <v>2</v>
      </c>
      <c r="E11" s="19">
        <v>2</v>
      </c>
      <c r="F11" s="1" t="str">
        <f t="shared" si="0"/>
        <v/>
      </c>
      <c r="G11" s="1" t="str">
        <f t="shared" si="1"/>
        <v xml:space="preserve">House 12 - 2 </v>
      </c>
    </row>
    <row r="12" spans="1:7">
      <c r="A12" s="8" t="s">
        <v>16</v>
      </c>
      <c r="B12" s="9">
        <v>13</v>
      </c>
      <c r="C12" s="10">
        <v>2</v>
      </c>
      <c r="D12" s="11">
        <v>4</v>
      </c>
      <c r="E12" s="19">
        <v>4</v>
      </c>
      <c r="F12" s="1" t="str">
        <f t="shared" si="0"/>
        <v/>
      </c>
      <c r="G12" s="1" t="str">
        <f t="shared" si="1"/>
        <v xml:space="preserve">House 13 - 4 </v>
      </c>
    </row>
    <row r="13" spans="1:7">
      <c r="A13" s="8" t="s">
        <v>17</v>
      </c>
      <c r="B13" s="9">
        <v>16</v>
      </c>
      <c r="C13" s="10">
        <v>2</v>
      </c>
      <c r="D13" s="11">
        <v>2</v>
      </c>
      <c r="E13" s="19">
        <v>2</v>
      </c>
      <c r="F13" s="1" t="str">
        <f t="shared" si="0"/>
        <v/>
      </c>
      <c r="G13" s="1" t="str">
        <f t="shared" si="1"/>
        <v xml:space="preserve">House 16 - 2 </v>
      </c>
    </row>
    <row r="14" spans="1:7">
      <c r="A14" s="8" t="s">
        <v>18</v>
      </c>
      <c r="B14" s="9">
        <v>18</v>
      </c>
      <c r="C14" s="10">
        <v>1</v>
      </c>
      <c r="D14" s="11">
        <v>2</v>
      </c>
      <c r="E14" s="19">
        <v>2</v>
      </c>
      <c r="F14" s="1" t="str">
        <f t="shared" si="0"/>
        <v/>
      </c>
      <c r="G14" s="1" t="str">
        <f t="shared" si="1"/>
        <v xml:space="preserve">House 18 - 2 </v>
      </c>
    </row>
    <row r="15" spans="1:7">
      <c r="A15" s="8" t="s">
        <v>19</v>
      </c>
      <c r="B15" s="9">
        <v>19</v>
      </c>
      <c r="C15" s="10">
        <v>2</v>
      </c>
      <c r="D15" s="18">
        <v>2</v>
      </c>
      <c r="E15" s="1">
        <v>2</v>
      </c>
      <c r="F15" s="1" t="str">
        <f t="shared" si="0"/>
        <v/>
      </c>
      <c r="G15" s="1" t="str">
        <f t="shared" si="1"/>
        <v xml:space="preserve">House 19 - 2 </v>
      </c>
    </row>
    <row r="16" spans="1:7">
      <c r="A16" s="13" t="s">
        <v>20</v>
      </c>
      <c r="B16" s="9">
        <v>20</v>
      </c>
      <c r="C16" s="11">
        <v>2</v>
      </c>
      <c r="D16" s="11">
        <v>2</v>
      </c>
      <c r="E16" s="19">
        <v>2</v>
      </c>
      <c r="F16" s="1" t="str">
        <f t="shared" si="0"/>
        <v/>
      </c>
      <c r="G16" s="1" t="str">
        <f t="shared" si="1"/>
        <v xml:space="preserve">House 20 - 2 </v>
      </c>
    </row>
    <row r="17" spans="1:7">
      <c r="A17" s="8" t="s">
        <v>21</v>
      </c>
      <c r="B17" s="9">
        <v>21</v>
      </c>
      <c r="C17" s="10">
        <v>1</v>
      </c>
      <c r="D17" s="11">
        <v>4</v>
      </c>
      <c r="E17" s="19">
        <v>3</v>
      </c>
      <c r="F17" s="1" t="str">
        <f t="shared" si="0"/>
        <v>(Changed)</v>
      </c>
      <c r="G17" s="1" t="str">
        <f t="shared" si="1"/>
        <v>House 21 - 3 (Changed)</v>
      </c>
    </row>
    <row r="18" spans="1:7">
      <c r="A18" s="8" t="s">
        <v>22</v>
      </c>
      <c r="B18" s="9">
        <v>22</v>
      </c>
      <c r="C18" s="10">
        <v>1</v>
      </c>
      <c r="D18" s="11">
        <v>4</v>
      </c>
      <c r="E18" s="19">
        <v>3</v>
      </c>
      <c r="F18" s="1" t="str">
        <f t="shared" si="0"/>
        <v>(Changed)</v>
      </c>
      <c r="G18" s="1" t="str">
        <f t="shared" si="1"/>
        <v>House 22 - 3 (Changed)</v>
      </c>
    </row>
    <row r="19" spans="1:7">
      <c r="A19" s="13" t="s">
        <v>23</v>
      </c>
      <c r="B19" s="9" t="s">
        <v>24</v>
      </c>
      <c r="C19" s="11">
        <v>2</v>
      </c>
      <c r="D19" s="11">
        <v>4</v>
      </c>
      <c r="E19" s="19">
        <v>3</v>
      </c>
      <c r="F19" s="1" t="str">
        <f t="shared" si="0"/>
        <v>(Changed)</v>
      </c>
      <c r="G19" s="1" t="str">
        <f t="shared" si="1"/>
        <v>House Coppice - 3 (Changed)</v>
      </c>
    </row>
    <row r="20" spans="1:7">
      <c r="A20" s="13"/>
      <c r="B20" s="9"/>
      <c r="C20" s="11"/>
      <c r="D20" s="11"/>
      <c r="F20" s="1" t="str">
        <f t="shared" si="0"/>
        <v/>
      </c>
    </row>
    <row r="21" spans="1:7">
      <c r="A21" s="13"/>
      <c r="B21" s="9"/>
      <c r="C21" s="11"/>
      <c r="D21" s="11"/>
      <c r="F21" s="1" t="str">
        <f t="shared" si="0"/>
        <v/>
      </c>
    </row>
    <row r="22" spans="1:7">
      <c r="A22" s="13"/>
      <c r="B22" s="9"/>
      <c r="C22" s="11"/>
      <c r="D22" s="11"/>
      <c r="F22" s="1" t="str">
        <f t="shared" si="0"/>
        <v/>
      </c>
    </row>
    <row r="23" spans="1:7">
      <c r="A23" s="13"/>
      <c r="B23" s="9"/>
      <c r="C23" s="11"/>
      <c r="D23" s="11"/>
      <c r="F23" s="1" t="str">
        <f t="shared" si="0"/>
        <v/>
      </c>
    </row>
    <row r="24" spans="1:7">
      <c r="D24" s="1" t="s">
        <v>25</v>
      </c>
    </row>
  </sheetData>
  <mergeCells count="1">
    <mergeCell ref="A1:D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7" sqref="B7"/>
    </sheetView>
  </sheetViews>
  <sheetFormatPr defaultColWidth="16.28515625" defaultRowHeight="12.75"/>
  <cols>
    <col min="1" max="1" width="52.7109375" style="1" customWidth="1"/>
    <col min="2" max="2" width="16.28515625" style="1" customWidth="1"/>
    <col min="3" max="3" width="16.42578125" style="1" bestFit="1" customWidth="1"/>
    <col min="4" max="6" width="16.28515625" style="1" customWidth="1"/>
    <col min="7" max="16384" width="16.28515625" style="1"/>
  </cols>
  <sheetData>
    <row r="1" spans="1:5" ht="15">
      <c r="A1" s="20" t="s">
        <v>0</v>
      </c>
      <c r="B1" s="20"/>
      <c r="C1" s="20"/>
      <c r="D1" s="20"/>
      <c r="E1" s="20"/>
    </row>
    <row r="2" spans="1:5" ht="25.5">
      <c r="A2" s="3"/>
      <c r="B2" s="3"/>
      <c r="C2" s="2" t="s">
        <v>26</v>
      </c>
      <c r="D2" s="2" t="s">
        <v>27</v>
      </c>
      <c r="E2" s="3"/>
    </row>
    <row r="3" spans="1:5">
      <c r="A3" s="4" t="s">
        <v>28</v>
      </c>
      <c r="B3" s="14">
        <v>48</v>
      </c>
      <c r="C3" s="7"/>
      <c r="D3" s="7"/>
      <c r="E3" s="7"/>
    </row>
    <row r="4" spans="1:5">
      <c r="A4" s="8" t="s">
        <v>29</v>
      </c>
      <c r="B4" s="12">
        <f>COUNTA(Responses!A3:A23)</f>
        <v>17</v>
      </c>
      <c r="C4" s="11"/>
      <c r="D4" s="11"/>
      <c r="E4" s="11"/>
    </row>
    <row r="5" spans="1:5">
      <c r="A5" s="8" t="s">
        <v>30</v>
      </c>
      <c r="B5" s="12">
        <f>SUM(Responses!$C$3:$C$23)</f>
        <v>26</v>
      </c>
      <c r="C5" s="11"/>
      <c r="D5" s="11"/>
      <c r="E5" s="11"/>
    </row>
    <row r="6" spans="1:5">
      <c r="A6" s="8" t="s">
        <v>4</v>
      </c>
      <c r="B6" s="12">
        <f>SUM(Responses!D3:D23)</f>
        <v>52</v>
      </c>
      <c r="C6" s="11"/>
      <c r="D6" s="11"/>
      <c r="E6" s="11"/>
    </row>
    <row r="7" spans="1:5">
      <c r="A7" s="8" t="s">
        <v>5</v>
      </c>
      <c r="B7" s="12">
        <f>SUM(Responses!E3:E23)</f>
        <v>48</v>
      </c>
      <c r="C7" s="11"/>
      <c r="D7" s="11"/>
      <c r="E7" s="11"/>
    </row>
    <row r="8" spans="1:5">
      <c r="A8" s="8" t="s">
        <v>31</v>
      </c>
      <c r="B8" s="12" cm="1">
        <f t="array" ref="B8">B3/B4</f>
        <v>2.8235294117647061</v>
      </c>
      <c r="C8" s="11"/>
      <c r="D8" s="11"/>
      <c r="E8" s="11"/>
    </row>
    <row r="9" spans="1:5">
      <c r="A9" s="8" t="s">
        <v>32</v>
      </c>
      <c r="B9" s="12">
        <v>5</v>
      </c>
      <c r="C9" s="11"/>
      <c r="D9" s="11"/>
      <c r="E9" s="11"/>
    </row>
    <row r="10" spans="1:5">
      <c r="A10" s="8" t="s">
        <v>33</v>
      </c>
      <c r="B10" s="12" cm="1">
        <f t="array" ref="B10">B3*B9</f>
        <v>240</v>
      </c>
      <c r="C10" s="11"/>
      <c r="D10" s="11"/>
      <c r="E10" s="11"/>
    </row>
    <row r="11" spans="1:5">
      <c r="A11" s="8" t="s">
        <v>34</v>
      </c>
      <c r="B11" s="9"/>
      <c r="C11" s="10">
        <v>50</v>
      </c>
      <c r="D11" s="10" cm="1">
        <f t="array" ref="D11">$B$10*C11%</f>
        <v>120</v>
      </c>
      <c r="E11" s="11"/>
    </row>
    <row r="12" spans="1:5">
      <c r="A12" s="8" t="s">
        <v>35</v>
      </c>
      <c r="B12" s="9"/>
      <c r="C12" s="10">
        <v>20</v>
      </c>
      <c r="D12" s="10" cm="1">
        <f t="array" ref="D12">$B$10*C12%</f>
        <v>48</v>
      </c>
      <c r="E12" s="11"/>
    </row>
    <row r="13" spans="1:5">
      <c r="A13" s="8" t="s">
        <v>36</v>
      </c>
      <c r="B13" s="9"/>
      <c r="C13" s="10">
        <v>12</v>
      </c>
      <c r="D13" s="10" cm="1">
        <f t="array" ref="D13">$B$10*C13%</f>
        <v>28.799999999999997</v>
      </c>
      <c r="E13" s="11"/>
    </row>
    <row r="14" spans="1:5">
      <c r="A14" s="8" t="s">
        <v>37</v>
      </c>
      <c r="B14" s="9"/>
      <c r="C14" s="10">
        <v>8</v>
      </c>
      <c r="D14" s="10" cm="1">
        <f t="array" ref="D14">$B$10*C14%</f>
        <v>19.2</v>
      </c>
      <c r="E14" s="11"/>
    </row>
    <row r="15" spans="1:5">
      <c r="A15" s="8" t="s">
        <v>38</v>
      </c>
      <c r="B15" s="9"/>
      <c r="C15" s="10">
        <v>5</v>
      </c>
      <c r="D15" s="10" cm="1">
        <f t="array" ref="D15">$B$10*C15%</f>
        <v>12</v>
      </c>
      <c r="E15" s="11"/>
    </row>
    <row r="16" spans="1:5">
      <c r="A16" s="8" t="s">
        <v>39</v>
      </c>
      <c r="B16" s="9"/>
      <c r="C16" s="10">
        <v>5</v>
      </c>
      <c r="D16" s="10" cm="1">
        <f t="array" ref="D16">$B$10*C16%</f>
        <v>12</v>
      </c>
      <c r="E16" s="11"/>
    </row>
    <row r="17" spans="1:5">
      <c r="A17" s="13"/>
      <c r="B17" s="9"/>
      <c r="C17" s="10" cm="1">
        <f t="array" ref="C17">SUM(C3:C16)</f>
        <v>100</v>
      </c>
      <c r="D17" s="10" cm="1">
        <f t="array" ref="D17">SUM(D3:D16)</f>
        <v>240</v>
      </c>
      <c r="E17" s="11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12" sqref="E12"/>
    </sheetView>
  </sheetViews>
  <sheetFormatPr defaultColWidth="16.28515625" defaultRowHeight="12.75"/>
  <cols>
    <col min="1" max="1" width="31.85546875" style="1" customWidth="1"/>
    <col min="2" max="2" width="89.140625" style="1" customWidth="1"/>
    <col min="3" max="5" width="16.28515625" style="1" customWidth="1"/>
    <col min="6" max="16384" width="16.28515625" style="1"/>
  </cols>
  <sheetData>
    <row r="1" spans="1:4" ht="15">
      <c r="A1" s="20" t="s">
        <v>0</v>
      </c>
      <c r="B1" s="20"/>
      <c r="C1" s="20"/>
      <c r="D1" s="20"/>
    </row>
    <row r="2" spans="1:4">
      <c r="A2" s="3"/>
      <c r="B2" s="3"/>
      <c r="C2" s="3"/>
      <c r="D2" s="3"/>
    </row>
    <row r="3" spans="1:4" ht="63.75">
      <c r="A3" s="4" t="s">
        <v>40</v>
      </c>
      <c r="B3" s="17" t="s">
        <v>41</v>
      </c>
      <c r="C3" s="7"/>
      <c r="D3" s="7"/>
    </row>
    <row r="4" spans="1:4">
      <c r="A4" s="13"/>
      <c r="B4" s="9"/>
      <c r="C4" s="11"/>
      <c r="D4" s="11"/>
    </row>
    <row r="5" spans="1:4">
      <c r="A5" s="13"/>
      <c r="B5" s="9"/>
      <c r="C5" s="11"/>
      <c r="D5" s="11"/>
    </row>
    <row r="6" spans="1:4">
      <c r="A6" s="13"/>
      <c r="B6" s="9"/>
      <c r="C6" s="11"/>
      <c r="D6" s="11"/>
    </row>
    <row r="7" spans="1:4">
      <c r="A7" s="13"/>
      <c r="B7" s="9"/>
      <c r="C7" s="11"/>
      <c r="D7" s="11"/>
    </row>
    <row r="8" spans="1:4">
      <c r="A8" s="13"/>
      <c r="B8" s="9"/>
      <c r="C8" s="11"/>
      <c r="D8" s="11"/>
    </row>
    <row r="9" spans="1:4">
      <c r="A9" s="13"/>
      <c r="B9" s="9"/>
      <c r="C9" s="11"/>
      <c r="D9" s="11"/>
    </row>
    <row r="10" spans="1:4">
      <c r="A10" s="13"/>
      <c r="B10" s="9"/>
      <c r="C10" s="11"/>
      <c r="D10" s="11"/>
    </row>
    <row r="11" spans="1:4">
      <c r="A11" s="13"/>
      <c r="B11" s="9"/>
      <c r="C11" s="11"/>
      <c r="D11" s="11"/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5" sqref="B5"/>
    </sheetView>
  </sheetViews>
  <sheetFormatPr defaultColWidth="16.28515625" defaultRowHeight="19.899999999999999" customHeight="1"/>
  <cols>
    <col min="1" max="1" width="16.28515625" style="1" customWidth="1"/>
    <col min="2" max="5" width="27.7109375" style="1" customWidth="1"/>
    <col min="6" max="9" width="16.28515625" style="1" customWidth="1"/>
    <col min="10" max="16384" width="16.28515625" style="1"/>
  </cols>
  <sheetData>
    <row r="1" spans="1:8" ht="27.6" customHeight="1">
      <c r="A1" s="20" t="s">
        <v>0</v>
      </c>
      <c r="B1" s="20"/>
      <c r="C1" s="20"/>
      <c r="D1" s="20"/>
      <c r="E1" s="20"/>
      <c r="F1" s="20"/>
      <c r="G1" s="20"/>
      <c r="H1" s="20"/>
    </row>
    <row r="2" spans="1:8" ht="20.25" customHeight="1">
      <c r="A2" s="2" t="s">
        <v>2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3" t="s">
        <v>47</v>
      </c>
      <c r="H2" s="3" t="s">
        <v>48</v>
      </c>
    </row>
    <row r="3" spans="1:8" ht="20.25" customHeight="1">
      <c r="A3" s="15">
        <v>1</v>
      </c>
      <c r="B3" s="11" t="s">
        <v>53</v>
      </c>
      <c r="C3" s="11" t="s">
        <v>74</v>
      </c>
      <c r="D3" s="11" t="s">
        <v>97</v>
      </c>
      <c r="E3" s="11" t="s">
        <v>81</v>
      </c>
      <c r="F3" s="7"/>
      <c r="G3" s="7"/>
      <c r="H3" s="7"/>
    </row>
    <row r="4" spans="1:8" ht="20.100000000000001" customHeight="1">
      <c r="A4" s="13">
        <v>2</v>
      </c>
      <c r="B4" s="11" t="s">
        <v>51</v>
      </c>
      <c r="C4" s="11" t="s">
        <v>76</v>
      </c>
      <c r="D4" s="11"/>
      <c r="E4" s="11"/>
      <c r="F4" s="11"/>
      <c r="G4" s="11"/>
      <c r="H4" s="11"/>
    </row>
    <row r="5" spans="1:8" ht="20.100000000000001" customHeight="1">
      <c r="A5" s="13">
        <v>3</v>
      </c>
      <c r="B5" s="11" t="s">
        <v>116</v>
      </c>
      <c r="C5" s="11" t="s">
        <v>66</v>
      </c>
      <c r="D5" s="11"/>
      <c r="E5" s="11"/>
      <c r="F5" s="11"/>
      <c r="G5" s="11"/>
      <c r="H5" s="11"/>
    </row>
    <row r="6" spans="1:8" ht="20.100000000000001" customHeight="1">
      <c r="A6" s="13">
        <v>4</v>
      </c>
      <c r="B6" s="11" t="s">
        <v>78</v>
      </c>
      <c r="C6" s="11" t="s">
        <v>115</v>
      </c>
      <c r="D6" s="11" t="s">
        <v>68</v>
      </c>
      <c r="E6" s="11"/>
      <c r="F6" s="11"/>
      <c r="G6" s="11"/>
      <c r="H6" s="11" t="s">
        <v>9</v>
      </c>
    </row>
    <row r="7" spans="1:8" ht="20.100000000000001" customHeight="1">
      <c r="A7" s="13">
        <v>5</v>
      </c>
      <c r="B7" s="11" t="s">
        <v>71</v>
      </c>
      <c r="C7" s="11" t="s">
        <v>111</v>
      </c>
      <c r="D7" s="11" t="s">
        <v>112</v>
      </c>
      <c r="E7" s="11"/>
      <c r="F7" s="11"/>
      <c r="G7" s="11"/>
      <c r="H7" s="11"/>
    </row>
    <row r="8" spans="1:8" ht="20.100000000000001" customHeight="1">
      <c r="A8" s="13">
        <v>6</v>
      </c>
      <c r="B8" s="11" t="s">
        <v>59</v>
      </c>
      <c r="C8" s="11" t="s">
        <v>89</v>
      </c>
      <c r="D8" s="11" t="s">
        <v>99</v>
      </c>
      <c r="E8" s="11" t="s">
        <v>117</v>
      </c>
      <c r="F8" s="11"/>
      <c r="G8" s="11"/>
      <c r="H8" s="11"/>
    </row>
    <row r="9" spans="1:8" ht="20.100000000000001" customHeight="1">
      <c r="A9" s="13">
        <v>8</v>
      </c>
      <c r="B9" s="11" t="s">
        <v>95</v>
      </c>
      <c r="C9" s="11" t="s">
        <v>57</v>
      </c>
      <c r="D9" s="11" t="s">
        <v>77</v>
      </c>
      <c r="E9" s="11"/>
      <c r="F9" s="11"/>
      <c r="G9" s="11"/>
      <c r="H9" s="11" t="s">
        <v>49</v>
      </c>
    </row>
    <row r="10" spans="1:8" ht="20.100000000000001" customHeight="1">
      <c r="A10" s="13">
        <v>11</v>
      </c>
      <c r="B10" s="11" t="s">
        <v>72</v>
      </c>
      <c r="C10" s="11" t="s">
        <v>82</v>
      </c>
      <c r="D10" s="11" t="s">
        <v>87</v>
      </c>
      <c r="E10" s="11" t="s">
        <v>118</v>
      </c>
      <c r="F10" s="11"/>
      <c r="G10" s="11"/>
      <c r="H10" s="11"/>
    </row>
    <row r="11" spans="1:8" ht="20.100000000000001" customHeight="1">
      <c r="A11" s="13">
        <v>12</v>
      </c>
      <c r="B11" s="11" t="s">
        <v>56</v>
      </c>
      <c r="C11" s="11" t="s">
        <v>55</v>
      </c>
      <c r="D11" s="11"/>
      <c r="E11" s="11"/>
      <c r="F11" s="11"/>
      <c r="G11" s="11"/>
      <c r="H11" s="11"/>
    </row>
    <row r="12" spans="1:8" ht="19.899999999999999" customHeight="1">
      <c r="A12" s="13">
        <v>13</v>
      </c>
      <c r="B12" s="11" t="s">
        <v>119</v>
      </c>
      <c r="C12" s="11" t="s">
        <v>83</v>
      </c>
      <c r="D12" s="11" t="s">
        <v>67</v>
      </c>
      <c r="E12" s="11" t="s">
        <v>94</v>
      </c>
      <c r="F12" s="11"/>
      <c r="G12" s="11"/>
      <c r="H12" s="11" t="s">
        <v>50</v>
      </c>
    </row>
    <row r="13" spans="1:8" ht="19.899999999999999" customHeight="1">
      <c r="A13" s="13">
        <v>14</v>
      </c>
      <c r="B13" s="11"/>
      <c r="C13" s="11"/>
      <c r="D13" s="11"/>
      <c r="E13" s="11"/>
      <c r="F13" s="11"/>
      <c r="G13" s="11"/>
      <c r="H13" s="11"/>
    </row>
    <row r="14" spans="1:8" ht="19.899999999999999" customHeight="1">
      <c r="A14" s="13">
        <v>15</v>
      </c>
      <c r="B14" s="11"/>
      <c r="C14" s="11"/>
      <c r="D14" s="11"/>
      <c r="E14" s="11"/>
      <c r="F14" s="11"/>
      <c r="G14" s="11"/>
      <c r="H14" s="11"/>
    </row>
    <row r="15" spans="1:8" ht="19.899999999999999" customHeight="1">
      <c r="A15" s="13">
        <v>16</v>
      </c>
      <c r="B15" s="11" t="s">
        <v>84</v>
      </c>
      <c r="C15" s="11" t="s">
        <v>114</v>
      </c>
      <c r="D15" s="11"/>
      <c r="E15" s="11"/>
      <c r="F15" s="11"/>
      <c r="G15" s="11"/>
      <c r="H15" s="11"/>
    </row>
    <row r="16" spans="1:8" ht="19.899999999999999" customHeight="1">
      <c r="A16" s="13">
        <v>17</v>
      </c>
      <c r="B16" s="11"/>
      <c r="C16" s="11"/>
      <c r="D16" s="11"/>
      <c r="E16" s="11"/>
      <c r="F16" s="11"/>
      <c r="G16" s="11"/>
      <c r="H16" s="11"/>
    </row>
    <row r="17" spans="1:8" ht="19.899999999999999" customHeight="1">
      <c r="A17" s="13">
        <v>18</v>
      </c>
      <c r="B17" s="11" t="s">
        <v>52</v>
      </c>
      <c r="C17" s="11" t="s">
        <v>86</v>
      </c>
      <c r="D17" s="11"/>
      <c r="E17" s="11"/>
      <c r="F17" s="11"/>
      <c r="G17" s="11"/>
      <c r="H17" s="11"/>
    </row>
    <row r="18" spans="1:8" ht="19.899999999999999" customHeight="1">
      <c r="A18" s="13">
        <v>19</v>
      </c>
      <c r="B18" s="11" t="s">
        <v>79</v>
      </c>
      <c r="C18" s="11" t="s">
        <v>62</v>
      </c>
      <c r="D18" s="11"/>
      <c r="E18" s="11"/>
      <c r="F18" s="11"/>
      <c r="G18" s="11"/>
      <c r="H18" s="11"/>
    </row>
    <row r="19" spans="1:8" ht="19.899999999999999" customHeight="1">
      <c r="A19" s="13">
        <v>20</v>
      </c>
      <c r="B19" s="11" t="s">
        <v>93</v>
      </c>
      <c r="C19" s="11" t="s">
        <v>70</v>
      </c>
      <c r="D19" s="11"/>
      <c r="E19" s="11"/>
      <c r="F19" s="11"/>
      <c r="G19" s="11"/>
      <c r="H19" s="11" t="s">
        <v>50</v>
      </c>
    </row>
    <row r="20" spans="1:8" ht="19.899999999999999" customHeight="1">
      <c r="A20" s="13">
        <v>21</v>
      </c>
      <c r="B20" s="11" t="s">
        <v>73</v>
      </c>
      <c r="C20" s="11" t="s">
        <v>69</v>
      </c>
      <c r="D20" s="11" t="s">
        <v>85</v>
      </c>
      <c r="E20" s="11"/>
      <c r="F20" s="11"/>
      <c r="G20" s="11"/>
      <c r="H20" s="11"/>
    </row>
    <row r="21" spans="1:8" ht="19.899999999999999" customHeight="1">
      <c r="A21" s="13">
        <v>22</v>
      </c>
      <c r="B21" s="11" t="s">
        <v>113</v>
      </c>
      <c r="C21" s="11" t="s">
        <v>88</v>
      </c>
      <c r="D21" s="11" t="s">
        <v>90</v>
      </c>
      <c r="E21" s="11"/>
      <c r="F21" s="11"/>
      <c r="G21" s="11"/>
      <c r="H21" s="11"/>
    </row>
    <row r="22" spans="1:8" ht="19.899999999999999" customHeight="1">
      <c r="A22" s="13" t="s">
        <v>24</v>
      </c>
      <c r="B22" s="11" t="s">
        <v>61</v>
      </c>
      <c r="C22" s="11" t="s">
        <v>92</v>
      </c>
      <c r="D22" s="11" t="s">
        <v>60</v>
      </c>
      <c r="E22" s="11"/>
      <c r="F22" s="11"/>
      <c r="G22" s="11"/>
      <c r="H22" s="11"/>
    </row>
  </sheetData>
  <mergeCells count="1">
    <mergeCell ref="A1:H1"/>
  </mergeCells>
  <conditionalFormatting sqref="B3:E22">
    <cfRule type="duplicateValues" dxfId="0" priority="1"/>
  </conditionalFormatting>
  <dataValidations count="1">
    <dataValidation type="list" allowBlank="1" showInputMessage="1" showErrorMessage="1" sqref="B3:E22" xr:uid="{079957C5-75CE-44A1-9B01-E4534158C2CB}">
      <formula1>TeamList</formula1>
    </dataValidation>
  </dataValidation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6B08-1AC6-4E17-98A1-FD1C6EC579F4}">
  <dimension ref="A1:C49"/>
  <sheetViews>
    <sheetView workbookViewId="0"/>
  </sheetViews>
  <sheetFormatPr defaultRowHeight="12.75"/>
  <cols>
    <col min="1" max="1" width="23.28515625" customWidth="1"/>
    <col min="3" max="3" width="14.42578125" customWidth="1"/>
  </cols>
  <sheetData>
    <row r="1" spans="1:3" ht="25.5">
      <c r="A1" t="s">
        <v>54</v>
      </c>
      <c r="B1" t="s">
        <v>100</v>
      </c>
      <c r="C1" t="s">
        <v>101</v>
      </c>
    </row>
    <row r="2" spans="1:3">
      <c r="A2" t="s">
        <v>55</v>
      </c>
      <c r="C2" t="str">
        <f>IF(B2="",A2,A2&amp;" ("&amp;B2&amp;")")</f>
        <v>Algeria</v>
      </c>
    </row>
    <row r="3" spans="1:3">
      <c r="A3" t="s">
        <v>56</v>
      </c>
      <c r="C3" t="str">
        <f>IF(B3="",A3,A3&amp;" ("&amp;B3&amp;")")</f>
        <v>Argentina</v>
      </c>
    </row>
    <row r="4" spans="1:3">
      <c r="A4" t="s">
        <v>57</v>
      </c>
      <c r="C4" t="str">
        <f>IF(B4="",A4,A4&amp;" ("&amp;B4&amp;")")</f>
        <v>Australia</v>
      </c>
    </row>
    <row r="5" spans="1:3">
      <c r="A5" t="s">
        <v>51</v>
      </c>
      <c r="C5" t="str">
        <f>IF(B5="",A5,A5&amp;" ("&amp;B5&amp;")")</f>
        <v>Austria</v>
      </c>
    </row>
    <row r="6" spans="1:3">
      <c r="A6" t="s">
        <v>53</v>
      </c>
      <c r="C6" t="str">
        <f>IF(B6="",A6,A6&amp;" ("&amp;B6&amp;")")</f>
        <v>Belgium</v>
      </c>
    </row>
    <row r="7" spans="1:3">
      <c r="A7" t="s">
        <v>58</v>
      </c>
      <c r="B7" t="s">
        <v>102</v>
      </c>
      <c r="C7" t="str">
        <f>IF(B7="",A7,A7&amp;" ("&amp;B7&amp;")")</f>
        <v>Bosnia and Herzegovina (Bosnia)</v>
      </c>
    </row>
    <row r="8" spans="1:3">
      <c r="A8" t="s">
        <v>59</v>
      </c>
      <c r="C8" t="str">
        <f>IF(B8="",A8,A8&amp;" ("&amp;B8&amp;")")</f>
        <v>Brazil</v>
      </c>
    </row>
    <row r="9" spans="1:3">
      <c r="A9" t="s">
        <v>60</v>
      </c>
      <c r="C9" t="str">
        <f>IF(B9="",A9,A9&amp;" ("&amp;B9&amp;")")</f>
        <v>Canada</v>
      </c>
    </row>
    <row r="10" spans="1:3">
      <c r="A10" t="s">
        <v>52</v>
      </c>
      <c r="C10" t="str">
        <f>IF(B10="",A10,A10&amp;" ("&amp;B10&amp;")")</f>
        <v>Cape Verde</v>
      </c>
    </row>
    <row r="11" spans="1:3">
      <c r="A11" t="s">
        <v>61</v>
      </c>
      <c r="C11" t="str">
        <f>IF(B11="",A11,A11&amp;" ("&amp;B11&amp;")")</f>
        <v>Colombia</v>
      </c>
    </row>
    <row r="12" spans="1:3">
      <c r="A12" t="s">
        <v>62</v>
      </c>
      <c r="C12" t="str">
        <f>IF(B12="",A12,A12&amp;" ("&amp;B12&amp;")")</f>
        <v>Croatia</v>
      </c>
    </row>
    <row r="13" spans="1:3">
      <c r="A13" t="s">
        <v>63</v>
      </c>
      <c r="B13" t="s">
        <v>103</v>
      </c>
      <c r="C13" t="str">
        <f>IF(B13="",A13,A13&amp;" ("&amp;B13&amp;")")</f>
        <v>Curacao (Curaçao)</v>
      </c>
    </row>
    <row r="14" spans="1:3" ht="25.5">
      <c r="A14" t="s">
        <v>64</v>
      </c>
      <c r="B14" t="s">
        <v>104</v>
      </c>
      <c r="C14" t="str">
        <f>IF(B14="",A14,A14&amp;" ("&amp;B14&amp;")")</f>
        <v>Czechia (Czech Republic)</v>
      </c>
    </row>
    <row r="15" spans="1:3" ht="63.75">
      <c r="A15" t="s">
        <v>65</v>
      </c>
      <c r="B15" t="s">
        <v>105</v>
      </c>
      <c r="C15" t="str">
        <f>IF(B15="",A15,A15&amp;" ("&amp;B15&amp;")")</f>
        <v>DR Congo (Democratic Republic of the Congo)</v>
      </c>
    </row>
    <row r="16" spans="1:3">
      <c r="A16" t="s">
        <v>66</v>
      </c>
      <c r="C16" t="str">
        <f>IF(B16="",A16,A16&amp;" ("&amp;B16&amp;")")</f>
        <v>Ecuador</v>
      </c>
    </row>
    <row r="17" spans="1:3">
      <c r="A17" t="s">
        <v>67</v>
      </c>
      <c r="C17" t="str">
        <f>IF(B17="",A17,A17&amp;" ("&amp;B17&amp;")")</f>
        <v>Egypt</v>
      </c>
    </row>
    <row r="18" spans="1:3">
      <c r="A18" t="s">
        <v>68</v>
      </c>
      <c r="C18" t="str">
        <f>IF(B18="",A18,A18&amp;" ("&amp;B18&amp;")")</f>
        <v>England</v>
      </c>
    </row>
    <row r="19" spans="1:3">
      <c r="A19" t="s">
        <v>69</v>
      </c>
      <c r="C19" t="str">
        <f>IF(B19="",A19,A19&amp;" ("&amp;B19&amp;")")</f>
        <v>France</v>
      </c>
    </row>
    <row r="20" spans="1:3">
      <c r="A20" t="s">
        <v>70</v>
      </c>
      <c r="C20" t="str">
        <f>IF(B20="",A20,A20&amp;" ("&amp;B20&amp;")")</f>
        <v>Germany</v>
      </c>
    </row>
    <row r="21" spans="1:3">
      <c r="A21" t="s">
        <v>71</v>
      </c>
      <c r="C21" t="str">
        <f>IF(B21="",A21,A21&amp;" ("&amp;B21&amp;")")</f>
        <v>Ghana</v>
      </c>
    </row>
    <row r="22" spans="1:3">
      <c r="A22" t="s">
        <v>72</v>
      </c>
      <c r="C22" t="str">
        <f>IF(B22="",A22,A22&amp;" ("&amp;B22&amp;")")</f>
        <v>Haiti</v>
      </c>
    </row>
    <row r="23" spans="1:3">
      <c r="A23" t="s">
        <v>73</v>
      </c>
      <c r="C23" t="str">
        <f>IF(B23="",A23,A23&amp;" ("&amp;B23&amp;")")</f>
        <v>Iran</v>
      </c>
    </row>
    <row r="24" spans="1:3">
      <c r="A24" t="s">
        <v>74</v>
      </c>
      <c r="C24" t="str">
        <f>IF(B24="",A24,A24&amp;" ("&amp;B24&amp;")")</f>
        <v>Iraq</v>
      </c>
    </row>
    <row r="25" spans="1:3" ht="25.5">
      <c r="A25" t="s">
        <v>75</v>
      </c>
      <c r="B25" t="s">
        <v>106</v>
      </c>
      <c r="C25" t="str">
        <f>IF(B25="",A25,A25&amp;" ("&amp;B25&amp;")")</f>
        <v>Ivory Coast (Côte d'Ivoire)</v>
      </c>
    </row>
    <row r="26" spans="1:3">
      <c r="A26" t="s">
        <v>76</v>
      </c>
      <c r="C26" t="str">
        <f>IF(B26="",A26,A26&amp;" ("&amp;B26&amp;")")</f>
        <v>Japan</v>
      </c>
    </row>
    <row r="27" spans="1:3">
      <c r="A27" t="s">
        <v>77</v>
      </c>
      <c r="C27" t="str">
        <f>IF(B27="",A27,A27&amp;" ("&amp;B27&amp;")")</f>
        <v>Jordan</v>
      </c>
    </row>
    <row r="28" spans="1:3">
      <c r="A28" t="s">
        <v>78</v>
      </c>
      <c r="C28" t="str">
        <f>IF(B28="",A28,A28&amp;" ("&amp;B28&amp;")")</f>
        <v>Mexico</v>
      </c>
    </row>
    <row r="29" spans="1:3">
      <c r="A29" t="s">
        <v>79</v>
      </c>
      <c r="C29" t="str">
        <f>IF(B29="",A29,A29&amp;" ("&amp;B29&amp;")")</f>
        <v>Morocco</v>
      </c>
    </row>
    <row r="30" spans="1:3">
      <c r="A30" t="s">
        <v>80</v>
      </c>
      <c r="B30" t="s">
        <v>107</v>
      </c>
      <c r="C30" t="str">
        <f>IF(B30="",A30,A30&amp;" ("&amp;B30&amp;")")</f>
        <v>Netherlands (Holland)</v>
      </c>
    </row>
    <row r="31" spans="1:3">
      <c r="A31" t="s">
        <v>81</v>
      </c>
      <c r="C31" t="str">
        <f>IF(B31="",A31,A31&amp;" ("&amp;B31&amp;")")</f>
        <v>New Zealand</v>
      </c>
    </row>
    <row r="32" spans="1:3">
      <c r="A32" t="s">
        <v>82</v>
      </c>
      <c r="C32" t="str">
        <f>IF(B32="",A32,A32&amp;" ("&amp;B32&amp;")")</f>
        <v>Norway</v>
      </c>
    </row>
    <row r="33" spans="1:3">
      <c r="A33" t="s">
        <v>83</v>
      </c>
      <c r="C33" t="str">
        <f>IF(B33="",A33,A33&amp;" ("&amp;B33&amp;")")</f>
        <v>Panama</v>
      </c>
    </row>
    <row r="34" spans="1:3">
      <c r="A34" t="s">
        <v>84</v>
      </c>
      <c r="C34" t="str">
        <f>IF(B34="",A34,A34&amp;" ("&amp;B34&amp;")")</f>
        <v>Paraguay</v>
      </c>
    </row>
    <row r="35" spans="1:3">
      <c r="A35" t="s">
        <v>85</v>
      </c>
      <c r="C35" t="str">
        <f>IF(B35="",A35,A35&amp;" ("&amp;B35&amp;")")</f>
        <v>Portugal</v>
      </c>
    </row>
    <row r="36" spans="1:3">
      <c r="A36" t="s">
        <v>86</v>
      </c>
      <c r="C36" t="str">
        <f>IF(B36="",A36,A36&amp;" ("&amp;B36&amp;")")</f>
        <v>Qatar</v>
      </c>
    </row>
    <row r="37" spans="1:3">
      <c r="A37" t="s">
        <v>87</v>
      </c>
      <c r="C37" t="str">
        <f>IF(B37="",A37,A37&amp;" ("&amp;B37&amp;")")</f>
        <v>Saudi Arabia</v>
      </c>
    </row>
    <row r="38" spans="1:3">
      <c r="A38" t="s">
        <v>88</v>
      </c>
      <c r="C38" t="str">
        <f>IF(B38="",A38,A38&amp;" ("&amp;B38&amp;")")</f>
        <v>Scotland</v>
      </c>
    </row>
    <row r="39" spans="1:3">
      <c r="A39" t="s">
        <v>89</v>
      </c>
      <c r="C39" t="str">
        <f>IF(B39="",A39,A39&amp;" ("&amp;B39&amp;")")</f>
        <v>Senegal</v>
      </c>
    </row>
    <row r="40" spans="1:3">
      <c r="A40" t="s">
        <v>90</v>
      </c>
      <c r="C40" t="str">
        <f>IF(B40="",A40,A40&amp;" ("&amp;B40&amp;")")</f>
        <v>South Africa</v>
      </c>
    </row>
    <row r="41" spans="1:3" ht="25.5">
      <c r="A41" t="s">
        <v>91</v>
      </c>
      <c r="B41" t="s">
        <v>108</v>
      </c>
      <c r="C41" t="str">
        <f>IF(B41="",A41,A41&amp;" ("&amp;B41&amp;")")</f>
        <v>South Korea (Korea Republic)</v>
      </c>
    </row>
    <row r="42" spans="1:3">
      <c r="A42" t="s">
        <v>92</v>
      </c>
      <c r="C42" t="str">
        <f>IF(B42="",A42,A42&amp;" ("&amp;B42&amp;")")</f>
        <v>Spain</v>
      </c>
    </row>
    <row r="43" spans="1:3">
      <c r="A43" t="s">
        <v>93</v>
      </c>
      <c r="C43" t="str">
        <f>IF(B43="",A43,A43&amp;" ("&amp;B43&amp;")")</f>
        <v>Sweden</v>
      </c>
    </row>
    <row r="44" spans="1:3">
      <c r="A44" t="s">
        <v>94</v>
      </c>
      <c r="C44" t="str">
        <f>IF(B44="",A44,A44&amp;" ("&amp;B44&amp;")")</f>
        <v>Switzerland</v>
      </c>
    </row>
    <row r="45" spans="1:3">
      <c r="A45" t="s">
        <v>95</v>
      </c>
      <c r="C45" t="str">
        <f>IF(B45="",A45,A45&amp;" ("&amp;B45&amp;")")</f>
        <v>Tunisia</v>
      </c>
    </row>
    <row r="46" spans="1:3">
      <c r="A46" t="s">
        <v>96</v>
      </c>
      <c r="B46" t="s">
        <v>109</v>
      </c>
      <c r="C46" t="str">
        <f>IF(B46="",A46,A46&amp;" ("&amp;B46&amp;")")</f>
        <v>Türkiye (Turkey)</v>
      </c>
    </row>
    <row r="47" spans="1:3">
      <c r="A47" t="s">
        <v>97</v>
      </c>
      <c r="C47" t="str">
        <f>IF(B47="",A47,A47&amp;" ("&amp;B47&amp;")")</f>
        <v>Uruguay</v>
      </c>
    </row>
    <row r="48" spans="1:3" ht="25.5">
      <c r="A48" t="s">
        <v>98</v>
      </c>
      <c r="B48" t="s">
        <v>110</v>
      </c>
      <c r="C48" t="str">
        <f>IF(B48="",A48,A48&amp;" ("&amp;B48&amp;")")</f>
        <v>USA (United States)</v>
      </c>
    </row>
    <row r="49" spans="1:3">
      <c r="A49" t="s">
        <v>99</v>
      </c>
      <c r="C49" t="str">
        <f>IF(B49="",A49,A49&amp;" ("&amp;B49&amp;")")</f>
        <v>Uzbekistan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Responses</vt:lpstr>
      <vt:lpstr>Data</vt:lpstr>
      <vt:lpstr>Rules</vt:lpstr>
      <vt:lpstr>Tracking</vt:lpstr>
      <vt:lpstr>Lists</vt:lpstr>
      <vt:lpstr>TeamList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 Cooper</dc:creator>
  <cp:keywords/>
  <dc:description/>
  <cp:lastModifiedBy>Philip Cooper</cp:lastModifiedBy>
  <cp:revision/>
  <dcterms:created xsi:type="dcterms:W3CDTF">2026-05-31T14:51:36Z</dcterms:created>
  <dcterms:modified xsi:type="dcterms:W3CDTF">2026-05-31T19:56:05Z</dcterms:modified>
  <cp:category/>
  <cp:contentStatus/>
</cp:coreProperties>
</file>